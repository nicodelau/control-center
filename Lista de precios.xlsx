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<sst xmlns="http://schemas.openxmlformats.org/spreadsheetml/2006/main" count="203" uniqueCount="118">
  <si>
    <t>Lista de precios Dulce Victoria</t>
  </si>
  <si>
    <t>Contacto:</t>
  </si>
  <si>
    <t>11 3804-9152</t>
  </si>
  <si>
    <t>Última actualización:</t>
  </si>
  <si>
    <t>Ubicación:</t>
  </si>
  <si>
    <t>Gaspar Campos 4055</t>
  </si>
  <si>
    <t>Productos</t>
  </si>
  <si>
    <t>Marca</t>
  </si>
  <si>
    <t>Peso</t>
  </si>
  <si>
    <t>Precio lista</t>
  </si>
  <si>
    <t>Precio Efec</t>
  </si>
  <si>
    <t>Azúcares</t>
  </si>
  <si>
    <t xml:space="preserve">Azúcar granulada </t>
  </si>
  <si>
    <t>5kg</t>
  </si>
  <si>
    <t>Azúcar impalpable</t>
  </si>
  <si>
    <t>Sweet Rial</t>
  </si>
  <si>
    <t>10kg</t>
  </si>
  <si>
    <t>Azúcar negra</t>
  </si>
  <si>
    <t>Rellenos dulces</t>
  </si>
  <si>
    <t>Relleno dulce de leche</t>
  </si>
  <si>
    <t>Seeet Rial</t>
  </si>
  <si>
    <t xml:space="preserve">Dulce de leche </t>
  </si>
  <si>
    <t>Ledevit</t>
  </si>
  <si>
    <t xml:space="preserve">Mermelada membrillo </t>
  </si>
  <si>
    <t>Prindal</t>
  </si>
  <si>
    <t>Jalea fantasía</t>
  </si>
  <si>
    <t>Jalea Fantasía</t>
  </si>
  <si>
    <t>Sweet rial</t>
  </si>
  <si>
    <t>Cajón batata</t>
  </si>
  <si>
    <t>Cayfar</t>
  </si>
  <si>
    <t>Cajón membrillo</t>
  </si>
  <si>
    <t>Pastelera en frío</t>
  </si>
  <si>
    <t>4kg</t>
  </si>
  <si>
    <t>Crema Chantilly</t>
  </si>
  <si>
    <t>ledevit</t>
  </si>
  <si>
    <t>4,7kg</t>
  </si>
  <si>
    <t>Miel</t>
  </si>
  <si>
    <t>Don carlos</t>
  </si>
  <si>
    <t>7kg</t>
  </si>
  <si>
    <t>Frutos secos</t>
  </si>
  <si>
    <t>Mani fileteado</t>
  </si>
  <si>
    <t>Mani plus</t>
  </si>
  <si>
    <t>1kg</t>
  </si>
  <si>
    <t>Mani grana</t>
  </si>
  <si>
    <t>Mani crocante</t>
  </si>
  <si>
    <t>Nuez</t>
  </si>
  <si>
    <t>La confianza</t>
  </si>
  <si>
    <t>Almendra</t>
  </si>
  <si>
    <t>Grasas y Margarinas</t>
  </si>
  <si>
    <t>Oleo</t>
  </si>
  <si>
    <t>Primor</t>
  </si>
  <si>
    <t>20kg</t>
  </si>
  <si>
    <t>Grasa vacuna refinada</t>
  </si>
  <si>
    <t>Margarina hojaldre placa</t>
  </si>
  <si>
    <t>2kg</t>
  </si>
  <si>
    <t>primor</t>
  </si>
  <si>
    <t>Margarina masa placa</t>
  </si>
  <si>
    <t>Margarina manterina hojaldre</t>
  </si>
  <si>
    <t>Danica</t>
  </si>
  <si>
    <t>Margarina manterina Masa</t>
  </si>
  <si>
    <t>Margarina hojaldre</t>
  </si>
  <si>
    <t xml:space="preserve">Margarina masa </t>
  </si>
  <si>
    <t>Tomates</t>
  </si>
  <si>
    <t>Tomate en lata</t>
  </si>
  <si>
    <t xml:space="preserve">Lata de tomate </t>
  </si>
  <si>
    <t>Don enrique</t>
  </si>
  <si>
    <t>8kg</t>
  </si>
  <si>
    <t>Salsa de tomate</t>
  </si>
  <si>
    <t>oreste</t>
  </si>
  <si>
    <t>Tomate triturado SAC</t>
  </si>
  <si>
    <t>Finca santiago</t>
  </si>
  <si>
    <t>Harinas y polvos</t>
  </si>
  <si>
    <t>Polvo de hornear</t>
  </si>
  <si>
    <t>Polcon</t>
  </si>
  <si>
    <t>Antimoho</t>
  </si>
  <si>
    <t>Emeth</t>
  </si>
  <si>
    <t>Mejorador panificador</t>
  </si>
  <si>
    <t>500gr</t>
  </si>
  <si>
    <t>Bolsa Faina</t>
  </si>
  <si>
    <t>Fainax</t>
  </si>
  <si>
    <t>Pan de queso</t>
  </si>
  <si>
    <t>Master bakery</t>
  </si>
  <si>
    <t>Harina de malta</t>
  </si>
  <si>
    <t>Almidón de maiz</t>
  </si>
  <si>
    <t>Glutal</t>
  </si>
  <si>
    <t>25kg</t>
  </si>
  <si>
    <t>Harina 000</t>
  </si>
  <si>
    <t>Lagomarsino (concepción)</t>
  </si>
  <si>
    <t>Consultar</t>
  </si>
  <si>
    <t>Blancura</t>
  </si>
  <si>
    <t xml:space="preserve">Harina 000 </t>
  </si>
  <si>
    <t>Santa margarita</t>
  </si>
  <si>
    <t>Basile (Pierina)</t>
  </si>
  <si>
    <t>Harina 0000</t>
  </si>
  <si>
    <t>Harina 0000 Tapera</t>
  </si>
  <si>
    <t xml:space="preserve">Lagomarsino </t>
  </si>
  <si>
    <t>Semolín</t>
  </si>
  <si>
    <t>Lagomarsino</t>
  </si>
  <si>
    <t>Mandioca</t>
  </si>
  <si>
    <t>Femag</t>
  </si>
  <si>
    <t>Aceituna</t>
  </si>
  <si>
    <t>Aceituna Nro 3</t>
  </si>
  <si>
    <t>Levadura</t>
  </si>
  <si>
    <t>Paraleva</t>
  </si>
  <si>
    <t>Levadura 500gr x 20</t>
  </si>
  <si>
    <t>Esencias</t>
  </si>
  <si>
    <t>Esencia manteca</t>
  </si>
  <si>
    <t>2l</t>
  </si>
  <si>
    <t>Esencia limon</t>
  </si>
  <si>
    <t>esencia amarillo</t>
  </si>
  <si>
    <t>Decorativos repostería</t>
  </si>
  <si>
    <t>Guindas rojas</t>
  </si>
  <si>
    <t>Bari</t>
  </si>
  <si>
    <t>Guindas verdes</t>
  </si>
  <si>
    <t>Cacaos</t>
  </si>
  <si>
    <t>Cacao amargo</t>
  </si>
  <si>
    <t>C.G.A</t>
  </si>
  <si>
    <t xml:space="preserve">Cacao dulce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</si>
</sst>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20.0"/>
      <color rgb="FFDB242B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rgb="FFDB242B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80F"/>
        <bgColor rgb="FFF4C80F"/>
      </patternFill>
    </fill>
    <fill>
      <patternFill patternType="solid">
        <fgColor rgb="FFFFE271"/>
        <bgColor rgb="FFFFE271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3" fontId="4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0.63"/>
    <col customWidth="1" min="4" max="4" width="17.63"/>
    <col customWidth="1" min="6" max="6" width="10.5"/>
    <col customWidth="1" min="7" max="7" width="27.38"/>
    <col customWidth="1" min="8" max="8" width="16.5"/>
    <col customWidth="1" min="9" max="10" width="27.38"/>
    <col customWidth="1" min="11" max="11" width="15.5"/>
    <col customWidth="1" min="12" max="12" width="22.25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5" t="s">
        <v>3</v>
      </c>
      <c r="E2" s="6">
        <v>46163.0</v>
      </c>
    </row>
    <row r="3">
      <c r="A3" s="4"/>
      <c r="B3" s="3"/>
      <c r="C3" s="4"/>
      <c r="D3" s="4"/>
      <c r="E3" s="4"/>
    </row>
    <row r="4">
      <c r="A4" s="5" t="s">
        <v>4</v>
      </c>
      <c r="B4" s="3" t="s">
        <v>5</v>
      </c>
      <c r="C4" s="4"/>
      <c r="D4" s="4"/>
      <c r="E4" s="4"/>
    </row>
    <row r="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</row>
    <row r="6">
      <c r="A6" s="1" t="s">
        <v>11</v>
      </c>
    </row>
    <row r="7">
      <c r="A7" s="3" t="s">
        <v>12</v>
      </c>
      <c r="B7" s="4"/>
      <c r="C7" s="3" t="s">
        <v>13</v>
      </c>
      <c r="D7" s="4">
        <f t="shared" ref="D7:D9" si="1">E7*1.1</f>
        <v>25740</v>
      </c>
      <c r="E7" s="3">
        <v>23400.0</v>
      </c>
    </row>
    <row r="8">
      <c r="A8" s="3" t="s">
        <v>14</v>
      </c>
      <c r="B8" s="3" t="s">
        <v>15</v>
      </c>
      <c r="C8" s="3" t="s">
        <v>16</v>
      </c>
      <c r="D8" s="4">
        <f t="shared" si="1"/>
        <v>18920</v>
      </c>
      <c r="E8" s="3">
        <v>17200.0</v>
      </c>
    </row>
    <row r="9">
      <c r="A9" s="3" t="s">
        <v>17</v>
      </c>
      <c r="B9" s="3" t="s">
        <v>15</v>
      </c>
      <c r="C9" s="3" t="s">
        <v>16</v>
      </c>
      <c r="D9" s="4">
        <f t="shared" si="1"/>
        <v>18920</v>
      </c>
      <c r="E9" s="3">
        <v>17200.0</v>
      </c>
    </row>
    <row r="10">
      <c r="A10" s="1" t="s">
        <v>18</v>
      </c>
    </row>
    <row r="11">
      <c r="A11" s="3" t="s">
        <v>19</v>
      </c>
      <c r="B11" s="3" t="s">
        <v>20</v>
      </c>
      <c r="C11" s="3" t="s">
        <v>16</v>
      </c>
      <c r="D11" s="3">
        <v>27810.0</v>
      </c>
      <c r="E11" s="3">
        <v>25285.0</v>
      </c>
    </row>
    <row r="12">
      <c r="A12" s="3" t="s">
        <v>21</v>
      </c>
      <c r="B12" s="3" t="s">
        <v>22</v>
      </c>
      <c r="C12" s="3" t="s">
        <v>13</v>
      </c>
      <c r="D12" s="3">
        <v>29500.0</v>
      </c>
      <c r="E12" s="3">
        <v>26780.0</v>
      </c>
    </row>
    <row r="13">
      <c r="A13" s="3" t="s">
        <v>23</v>
      </c>
      <c r="B13" s="3" t="s">
        <v>24</v>
      </c>
      <c r="C13" s="3" t="s">
        <v>16</v>
      </c>
      <c r="D13" s="4">
        <f t="shared" ref="D13:D20" si="2">E13*1.1</f>
        <v>29095</v>
      </c>
      <c r="E13" s="3">
        <v>26450.0</v>
      </c>
    </row>
    <row r="14">
      <c r="A14" s="3" t="s">
        <v>25</v>
      </c>
      <c r="B14" s="3" t="s">
        <v>24</v>
      </c>
      <c r="C14" s="3" t="s">
        <v>16</v>
      </c>
      <c r="D14" s="4">
        <f t="shared" si="2"/>
        <v>25927</v>
      </c>
      <c r="E14" s="3">
        <v>23570.0</v>
      </c>
    </row>
    <row r="15">
      <c r="A15" s="3" t="s">
        <v>26</v>
      </c>
      <c r="B15" s="3" t="s">
        <v>27</v>
      </c>
      <c r="C15" s="3" t="s">
        <v>16</v>
      </c>
      <c r="D15" s="4">
        <f t="shared" si="2"/>
        <v>19910</v>
      </c>
      <c r="E15" s="3">
        <v>18100.0</v>
      </c>
    </row>
    <row r="16">
      <c r="A16" s="3" t="s">
        <v>28</v>
      </c>
      <c r="B16" s="3" t="s">
        <v>29</v>
      </c>
      <c r="C16" s="3" t="s">
        <v>13</v>
      </c>
      <c r="D16" s="4">
        <f t="shared" si="2"/>
        <v>12540</v>
      </c>
      <c r="E16" s="3">
        <v>11400.0</v>
      </c>
    </row>
    <row r="17">
      <c r="A17" s="3" t="s">
        <v>30</v>
      </c>
      <c r="B17" s="3" t="s">
        <v>29</v>
      </c>
      <c r="C17" s="3" t="s">
        <v>13</v>
      </c>
      <c r="D17" s="4">
        <f t="shared" si="2"/>
        <v>14476</v>
      </c>
      <c r="E17" s="3">
        <v>13160.0</v>
      </c>
    </row>
    <row r="18">
      <c r="A18" s="3" t="s">
        <v>31</v>
      </c>
      <c r="B18" s="3" t="s">
        <v>22</v>
      </c>
      <c r="C18" s="3" t="s">
        <v>32</v>
      </c>
      <c r="D18" s="4">
        <f t="shared" si="2"/>
        <v>46200</v>
      </c>
      <c r="E18" s="3">
        <v>42000.0</v>
      </c>
    </row>
    <row r="19">
      <c r="A19" s="3" t="s">
        <v>33</v>
      </c>
      <c r="B19" s="3" t="s">
        <v>34</v>
      </c>
      <c r="C19" s="3" t="s">
        <v>35</v>
      </c>
      <c r="D19" s="4">
        <f t="shared" si="2"/>
        <v>51480</v>
      </c>
      <c r="E19" s="3">
        <v>46800.0</v>
      </c>
    </row>
    <row r="20">
      <c r="A20" s="3" t="s">
        <v>36</v>
      </c>
      <c r="B20" s="3" t="s">
        <v>37</v>
      </c>
      <c r="C20" s="3" t="s">
        <v>38</v>
      </c>
      <c r="D20" s="4">
        <f t="shared" si="2"/>
        <v>36520</v>
      </c>
      <c r="E20" s="3">
        <v>33200.0</v>
      </c>
    </row>
    <row r="21">
      <c r="A21" s="1" t="s">
        <v>39</v>
      </c>
    </row>
    <row r="22">
      <c r="A22" s="3" t="s">
        <v>40</v>
      </c>
      <c r="B22" s="3" t="s">
        <v>41</v>
      </c>
      <c r="C22" s="3" t="s">
        <v>42</v>
      </c>
      <c r="D22" s="3">
        <v>9100.0</v>
      </c>
      <c r="E22" s="3">
        <v>8260.0</v>
      </c>
    </row>
    <row r="23">
      <c r="A23" s="3" t="s">
        <v>43</v>
      </c>
      <c r="B23" s="3" t="s">
        <v>41</v>
      </c>
      <c r="C23" s="3" t="s">
        <v>13</v>
      </c>
      <c r="D23" s="4">
        <f t="shared" ref="D23:D26" si="3">E23*1.1</f>
        <v>27500</v>
      </c>
      <c r="E23" s="3">
        <f>5000*5</f>
        <v>25000</v>
      </c>
    </row>
    <row r="24">
      <c r="A24" s="3" t="s">
        <v>44</v>
      </c>
      <c r="B24" s="3" t="s">
        <v>41</v>
      </c>
      <c r="C24" s="3" t="s">
        <v>42</v>
      </c>
      <c r="D24" s="4">
        <f t="shared" si="3"/>
        <v>6380</v>
      </c>
      <c r="E24" s="3">
        <v>5800.0</v>
      </c>
    </row>
    <row r="25">
      <c r="A25" s="3" t="s">
        <v>45</v>
      </c>
      <c r="B25" s="3" t="s">
        <v>46</v>
      </c>
      <c r="C25" s="3" t="s">
        <v>42</v>
      </c>
      <c r="D25" s="4">
        <f t="shared" si="3"/>
        <v>23980</v>
      </c>
      <c r="E25" s="3">
        <v>21800.0</v>
      </c>
    </row>
    <row r="26">
      <c r="A26" s="3" t="s">
        <v>47</v>
      </c>
      <c r="B26" s="3" t="s">
        <v>46</v>
      </c>
      <c r="C26" s="3" t="s">
        <v>42</v>
      </c>
      <c r="D26" s="4">
        <f t="shared" si="3"/>
        <v>26400</v>
      </c>
      <c r="E26" s="3">
        <v>24000.0</v>
      </c>
    </row>
    <row r="27">
      <c r="A27" s="1" t="s">
        <v>48</v>
      </c>
    </row>
    <row r="28">
      <c r="A28" s="3" t="s">
        <v>49</v>
      </c>
      <c r="B28" s="3" t="s">
        <v>50</v>
      </c>
      <c r="C28" s="3" t="s">
        <v>51</v>
      </c>
      <c r="D28" s="4">
        <f t="shared" ref="D28:D36" si="4">E28*1.1</f>
        <v>125180</v>
      </c>
      <c r="E28" s="3">
        <v>113800.0</v>
      </c>
    </row>
    <row r="29">
      <c r="A29" s="3" t="s">
        <v>52</v>
      </c>
      <c r="B29" s="3" t="s">
        <v>50</v>
      </c>
      <c r="C29" s="3" t="s">
        <v>51</v>
      </c>
      <c r="D29" s="4">
        <f t="shared" si="4"/>
        <v>125180</v>
      </c>
      <c r="E29" s="3">
        <v>113800.0</v>
      </c>
    </row>
    <row r="30">
      <c r="A30" s="3" t="s">
        <v>53</v>
      </c>
      <c r="B30" s="3" t="s">
        <v>50</v>
      </c>
      <c r="C30" s="3" t="s">
        <v>54</v>
      </c>
      <c r="D30" s="4">
        <f t="shared" si="4"/>
        <v>11440</v>
      </c>
      <c r="E30" s="3">
        <v>10400.0</v>
      </c>
    </row>
    <row r="31">
      <c r="A31" s="3" t="s">
        <v>53</v>
      </c>
      <c r="B31" s="3" t="s">
        <v>55</v>
      </c>
      <c r="C31" s="3" t="s">
        <v>13</v>
      </c>
      <c r="D31" s="4">
        <f t="shared" si="4"/>
        <v>28600</v>
      </c>
      <c r="E31" s="3">
        <v>26000.0</v>
      </c>
    </row>
    <row r="32">
      <c r="A32" s="3" t="s">
        <v>56</v>
      </c>
      <c r="B32" s="3" t="s">
        <v>50</v>
      </c>
      <c r="C32" s="3" t="s">
        <v>13</v>
      </c>
      <c r="D32" s="4">
        <f t="shared" si="4"/>
        <v>28600</v>
      </c>
      <c r="E32" s="3">
        <v>26000.0</v>
      </c>
    </row>
    <row r="33">
      <c r="A33" s="3" t="s">
        <v>57</v>
      </c>
      <c r="B33" s="3" t="s">
        <v>58</v>
      </c>
      <c r="C33" s="3" t="s">
        <v>54</v>
      </c>
      <c r="D33" s="4">
        <f t="shared" si="4"/>
        <v>14300</v>
      </c>
      <c r="E33" s="3">
        <v>13000.0</v>
      </c>
    </row>
    <row r="34">
      <c r="A34" s="3" t="s">
        <v>59</v>
      </c>
      <c r="B34" s="3" t="s">
        <v>58</v>
      </c>
      <c r="C34" s="3" t="s">
        <v>13</v>
      </c>
      <c r="D34" s="4">
        <f t="shared" si="4"/>
        <v>35937</v>
      </c>
      <c r="E34" s="8">
        <v>32670.0</v>
      </c>
    </row>
    <row r="35">
      <c r="A35" s="3" t="s">
        <v>60</v>
      </c>
      <c r="B35" s="3" t="s">
        <v>58</v>
      </c>
      <c r="C35" s="3" t="s">
        <v>54</v>
      </c>
      <c r="D35" s="4">
        <f t="shared" si="4"/>
        <v>13178</v>
      </c>
      <c r="E35" s="3">
        <v>11980.0</v>
      </c>
    </row>
    <row r="36">
      <c r="A36" s="3" t="s">
        <v>61</v>
      </c>
      <c r="B36" s="3" t="s">
        <v>58</v>
      </c>
      <c r="C36" s="3" t="s">
        <v>13</v>
      </c>
      <c r="D36" s="4">
        <f t="shared" si="4"/>
        <v>32670</v>
      </c>
      <c r="E36" s="3">
        <v>29700.0</v>
      </c>
    </row>
    <row r="37">
      <c r="A37" s="1" t="s">
        <v>62</v>
      </c>
    </row>
    <row r="38">
      <c r="A38" s="3" t="s">
        <v>63</v>
      </c>
      <c r="B38" s="3"/>
      <c r="C38" s="3"/>
      <c r="D38" s="4"/>
      <c r="E38" s="3"/>
    </row>
    <row r="39">
      <c r="A39" s="3" t="s">
        <v>64</v>
      </c>
      <c r="B39" s="3" t="s">
        <v>65</v>
      </c>
      <c r="C39" s="3" t="s">
        <v>66</v>
      </c>
      <c r="D39" s="4"/>
      <c r="E39" s="3"/>
    </row>
    <row r="40">
      <c r="A40" s="3" t="s">
        <v>67</v>
      </c>
      <c r="B40" s="3" t="s">
        <v>68</v>
      </c>
      <c r="C40" s="3" t="s">
        <v>16</v>
      </c>
      <c r="D40" s="4"/>
      <c r="E40" s="3"/>
    </row>
    <row r="41">
      <c r="A41" s="3" t="s">
        <v>69</v>
      </c>
      <c r="B41" s="3" t="s">
        <v>70</v>
      </c>
      <c r="C41" s="3" t="s">
        <v>54</v>
      </c>
      <c r="D41" s="4">
        <f>E41*1.1</f>
        <v>2475</v>
      </c>
      <c r="E41" s="3">
        <v>2250.0</v>
      </c>
    </row>
    <row r="42">
      <c r="A42" s="1" t="s">
        <v>71</v>
      </c>
    </row>
    <row r="43">
      <c r="A43" s="3" t="s">
        <v>72</v>
      </c>
      <c r="B43" s="3" t="s">
        <v>73</v>
      </c>
      <c r="C43" s="3" t="s">
        <v>42</v>
      </c>
      <c r="D43" s="4">
        <f t="shared" ref="D43:D49" si="5">E43*1.1</f>
        <v>5720</v>
      </c>
      <c r="E43" s="3">
        <v>5200.0</v>
      </c>
    </row>
    <row r="44">
      <c r="A44" s="3" t="s">
        <v>74</v>
      </c>
      <c r="B44" s="3" t="s">
        <v>75</v>
      </c>
      <c r="C44" s="3" t="s">
        <v>13</v>
      </c>
      <c r="D44" s="4">
        <f t="shared" si="5"/>
        <v>42020</v>
      </c>
      <c r="E44" s="3">
        <v>38200.0</v>
      </c>
    </row>
    <row r="45">
      <c r="A45" s="3" t="s">
        <v>76</v>
      </c>
      <c r="B45" s="3" t="s">
        <v>75</v>
      </c>
      <c r="C45" s="3" t="s">
        <v>77</v>
      </c>
      <c r="D45" s="4">
        <f t="shared" si="5"/>
        <v>14850</v>
      </c>
      <c r="E45" s="3">
        <v>13500.0</v>
      </c>
    </row>
    <row r="46">
      <c r="A46" s="3" t="s">
        <v>78</v>
      </c>
      <c r="B46" s="3" t="s">
        <v>79</v>
      </c>
      <c r="C46" s="3" t="s">
        <v>16</v>
      </c>
      <c r="D46" s="4">
        <f t="shared" si="5"/>
        <v>36300</v>
      </c>
      <c r="E46" s="3">
        <v>33000.0</v>
      </c>
    </row>
    <row r="47">
      <c r="A47" s="3" t="s">
        <v>80</v>
      </c>
      <c r="B47" s="3" t="s">
        <v>81</v>
      </c>
      <c r="C47" s="3" t="s">
        <v>42</v>
      </c>
      <c r="D47" s="4">
        <f t="shared" si="5"/>
        <v>40480</v>
      </c>
      <c r="E47" s="3">
        <v>36800.0</v>
      </c>
    </row>
    <row r="48">
      <c r="A48" s="3" t="s">
        <v>82</v>
      </c>
      <c r="B48" s="3" t="s">
        <v>73</v>
      </c>
      <c r="C48" s="3" t="s">
        <v>16</v>
      </c>
      <c r="D48" s="4">
        <f t="shared" si="5"/>
        <v>18150</v>
      </c>
      <c r="E48" s="3">
        <v>16500.0</v>
      </c>
    </row>
    <row r="49">
      <c r="A49" s="3" t="s">
        <v>83</v>
      </c>
      <c r="B49" s="3" t="s">
        <v>84</v>
      </c>
      <c r="C49" s="3" t="s">
        <v>16</v>
      </c>
      <c r="D49" s="4">
        <f t="shared" si="5"/>
        <v>18150</v>
      </c>
      <c r="E49" s="3">
        <v>16500.0</v>
      </c>
    </row>
    <row r="50">
      <c r="A50" s="3" t="s">
        <v>83</v>
      </c>
      <c r="B50" s="3" t="s">
        <v>84</v>
      </c>
      <c r="C50" s="3" t="s">
        <v>85</v>
      </c>
      <c r="D50" s="3">
        <v>44000.0</v>
      </c>
      <c r="E50" s="3">
        <v>40000.0</v>
      </c>
    </row>
    <row r="51">
      <c r="A51" s="3" t="s">
        <v>86</v>
      </c>
      <c r="B51" s="3" t="s">
        <v>87</v>
      </c>
      <c r="C51" s="3" t="s">
        <v>85</v>
      </c>
      <c r="D51" s="3" t="s">
        <v>88</v>
      </c>
      <c r="E51" s="3" t="s">
        <v>88</v>
      </c>
    </row>
    <row r="52">
      <c r="A52" s="3" t="s">
        <v>86</v>
      </c>
      <c r="B52" s="3" t="s">
        <v>89</v>
      </c>
      <c r="C52" s="3" t="s">
        <v>85</v>
      </c>
      <c r="D52" s="3" t="s">
        <v>88</v>
      </c>
      <c r="E52" s="3" t="s">
        <v>88</v>
      </c>
    </row>
    <row r="53">
      <c r="A53" s="3" t="s">
        <v>90</v>
      </c>
      <c r="B53" s="3" t="s">
        <v>91</v>
      </c>
      <c r="C53" s="3" t="s">
        <v>85</v>
      </c>
      <c r="D53" s="3" t="s">
        <v>88</v>
      </c>
      <c r="E53" s="3" t="s">
        <v>88</v>
      </c>
    </row>
    <row r="54">
      <c r="A54" s="3" t="s">
        <v>86</v>
      </c>
      <c r="B54" s="3" t="s">
        <v>92</v>
      </c>
      <c r="C54" s="3" t="s">
        <v>85</v>
      </c>
      <c r="D54" s="3" t="s">
        <v>88</v>
      </c>
      <c r="E54" s="3" t="s">
        <v>88</v>
      </c>
    </row>
    <row r="55">
      <c r="A55" s="3" t="s">
        <v>93</v>
      </c>
      <c r="B55" s="3" t="s">
        <v>89</v>
      </c>
      <c r="C55" s="3" t="s">
        <v>85</v>
      </c>
      <c r="D55" s="3" t="s">
        <v>88</v>
      </c>
      <c r="E55" s="3" t="s">
        <v>88</v>
      </c>
    </row>
    <row r="56">
      <c r="A56" s="3" t="s">
        <v>94</v>
      </c>
      <c r="B56" s="3" t="s">
        <v>95</v>
      </c>
      <c r="C56" s="3" t="s">
        <v>85</v>
      </c>
      <c r="D56" s="3" t="s">
        <v>88</v>
      </c>
      <c r="E56" s="3" t="s">
        <v>88</v>
      </c>
    </row>
    <row r="57">
      <c r="A57" s="3" t="s">
        <v>96</v>
      </c>
      <c r="B57" s="3" t="s">
        <v>97</v>
      </c>
      <c r="C57" s="3" t="s">
        <v>85</v>
      </c>
      <c r="D57" s="3" t="s">
        <v>88</v>
      </c>
      <c r="E57" s="3" t="s">
        <v>88</v>
      </c>
    </row>
    <row r="58">
      <c r="A58" s="3" t="s">
        <v>98</v>
      </c>
      <c r="B58" s="3" t="s">
        <v>99</v>
      </c>
      <c r="C58" s="3" t="s">
        <v>85</v>
      </c>
      <c r="D58" s="4">
        <f>E58*1.1</f>
        <v>59202</v>
      </c>
      <c r="E58" s="3">
        <v>53820.0</v>
      </c>
    </row>
    <row r="59">
      <c r="A59" s="1" t="s">
        <v>100</v>
      </c>
    </row>
    <row r="60">
      <c r="A60" s="3" t="s">
        <v>101</v>
      </c>
      <c r="B60" s="4"/>
      <c r="C60" s="3" t="s">
        <v>13</v>
      </c>
      <c r="D60" s="4">
        <f>E60*1.1</f>
        <v>30965</v>
      </c>
      <c r="E60" s="3">
        <v>28150.0</v>
      </c>
    </row>
    <row r="61">
      <c r="A61" s="1" t="s">
        <v>102</v>
      </c>
    </row>
    <row r="62">
      <c r="A62" s="3" t="s">
        <v>102</v>
      </c>
      <c r="B62" s="3" t="s">
        <v>103</v>
      </c>
      <c r="C62" s="3" t="s">
        <v>77</v>
      </c>
      <c r="D62" s="4">
        <f t="shared" ref="D62:D63" si="6">E62*1.1</f>
        <v>3850</v>
      </c>
      <c r="E62" s="3">
        <v>3500.0</v>
      </c>
    </row>
    <row r="63">
      <c r="A63" s="3" t="s">
        <v>104</v>
      </c>
      <c r="B63" s="3" t="s">
        <v>103</v>
      </c>
      <c r="C63" s="3" t="s">
        <v>16</v>
      </c>
      <c r="D63" s="4">
        <f t="shared" si="6"/>
        <v>71500</v>
      </c>
      <c r="E63" s="3">
        <v>65000.0</v>
      </c>
    </row>
    <row r="64">
      <c r="A64" s="1" t="s">
        <v>105</v>
      </c>
    </row>
    <row r="65" hidden="1"/>
    <row r="66">
      <c r="A66" s="3" t="s">
        <v>106</v>
      </c>
      <c r="B66" s="3" t="s">
        <v>73</v>
      </c>
      <c r="C66" s="3" t="s">
        <v>107</v>
      </c>
      <c r="D66" s="4">
        <f t="shared" ref="D66:D68" si="7">E66*1.1</f>
        <v>3916</v>
      </c>
      <c r="E66" s="3">
        <v>3560.0</v>
      </c>
    </row>
    <row r="67">
      <c r="A67" s="3" t="s">
        <v>108</v>
      </c>
      <c r="B67" s="3" t="s">
        <v>73</v>
      </c>
      <c r="C67" s="3" t="s">
        <v>107</v>
      </c>
      <c r="D67" s="4">
        <f t="shared" si="7"/>
        <v>4565</v>
      </c>
      <c r="E67" s="3">
        <v>4150.0</v>
      </c>
    </row>
    <row r="68">
      <c r="A68" s="3" t="s">
        <v>109</v>
      </c>
      <c r="B68" s="3" t="s">
        <v>73</v>
      </c>
      <c r="C68" s="3" t="s">
        <v>107</v>
      </c>
      <c r="D68" s="4">
        <f t="shared" si="7"/>
        <v>4950</v>
      </c>
      <c r="E68" s="3">
        <v>4500.0</v>
      </c>
    </row>
    <row r="69">
      <c r="A69" s="1" t="s">
        <v>110</v>
      </c>
    </row>
    <row r="70">
      <c r="A70" s="3" t="s">
        <v>111</v>
      </c>
      <c r="B70" s="3" t="s">
        <v>112</v>
      </c>
      <c r="C70" s="3" t="s">
        <v>42</v>
      </c>
      <c r="D70" s="4">
        <f t="shared" ref="D70:D71" si="8">E70*1.1</f>
        <v>4518.8</v>
      </c>
      <c r="E70" s="3">
        <v>4108.0</v>
      </c>
    </row>
    <row r="71">
      <c r="A71" s="3" t="s">
        <v>113</v>
      </c>
      <c r="B71" s="3" t="s">
        <v>112</v>
      </c>
      <c r="C71" s="3" t="s">
        <v>13</v>
      </c>
      <c r="D71" s="4">
        <f t="shared" si="8"/>
        <v>19475.5</v>
      </c>
      <c r="E71" s="3">
        <v>17705.0</v>
      </c>
    </row>
    <row r="72">
      <c r="A72" s="1" t="s">
        <v>114</v>
      </c>
    </row>
    <row r="73">
      <c r="A73" s="3" t="s">
        <v>115</v>
      </c>
      <c r="B73" s="3" t="s">
        <v>116</v>
      </c>
      <c r="C73" s="3" t="s">
        <v>42</v>
      </c>
      <c r="D73" s="4">
        <f t="shared" ref="D73:D74" si="9">E73*1.1</f>
        <v>15070</v>
      </c>
      <c r="E73" s="3">
        <v>13700.0</v>
      </c>
    </row>
    <row r="74">
      <c r="A74" s="3" t="s">
        <v>117</v>
      </c>
      <c r="B74" s="3" t="s">
        <v>116</v>
      </c>
      <c r="C74" s="3" t="s">
        <v>42</v>
      </c>
      <c r="D74" s="4">
        <f t="shared" si="9"/>
        <v>7700</v>
      </c>
      <c r="E74" s="3">
        <v>7000.0</v>
      </c>
    </row>
  </sheetData>
  <mergeCells count="12">
    <mergeCell ref="A59:E59"/>
    <mergeCell ref="A61:E61"/>
    <mergeCell ref="A64:E64"/>
    <mergeCell ref="A69:E69"/>
    <mergeCell ref="A72:E72"/>
    <mergeCell ref="A1:E1"/>
    <mergeCell ref="A6:E6"/>
    <mergeCell ref="A10:E10"/>
    <mergeCell ref="A21:E21"/>
    <mergeCell ref="A27:E27"/>
    <mergeCell ref="A37:E37"/>
    <mergeCell ref="A42:E42"/>
  </mergeCells>
  <drawing r:id="rId1"/>
</worksheet>
</file>